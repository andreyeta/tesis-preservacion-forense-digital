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ver\Downloads\"/>
    </mc:Choice>
  </mc:AlternateContent>
  <xr:revisionPtr revIDLastSave="0" documentId="11_5B3F7226DA7B6D474D24F1AEC916CD6C63806654" xr6:coauthVersionLast="47" xr6:coauthVersionMax="47" xr10:uidLastSave="{00000000-0000-0000-0000-000000000000}"/>
  <bookViews>
    <workbookView xWindow="-120" yWindow="-120" windowWidth="29040" windowHeight="15720" firstSheet="2" activeTab="8" xr2:uid="{00000000-000D-0000-FFFF-FFFF00000000}"/>
  </bookViews>
  <sheets>
    <sheet name="README" sheetId="1" r:id="rId1"/>
    <sheet name="Matriz_Checklist" sheetId="2" r:id="rId2"/>
    <sheet name="Codificacion" sheetId="3" r:id="rId3"/>
    <sheet name="Tabulacion_Checklist" sheetId="4" r:id="rId4"/>
    <sheet name="Indicadores" sheetId="5" r:id="rId5"/>
    <sheet name="Matriz_Entrevistas" sheetId="6" r:id="rId6"/>
    <sheet name="Categorias_Cualitativas" sheetId="7" r:id="rId7"/>
    <sheet name="Dashboard" sheetId="8" r:id="rId8"/>
    <sheet name="Analisis_Discus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8" l="1"/>
  <c r="C18" i="8"/>
  <c r="A18" i="8"/>
  <c r="A17" i="8"/>
  <c r="G16" i="8"/>
  <c r="F16" i="8"/>
  <c r="A16" i="8"/>
  <c r="G15" i="8"/>
  <c r="F15" i="8"/>
  <c r="A15" i="8"/>
  <c r="G14" i="8"/>
  <c r="F14" i="8"/>
  <c r="A14" i="8"/>
  <c r="G13" i="8"/>
  <c r="F13" i="8"/>
  <c r="A13" i="8"/>
  <c r="G12" i="8"/>
  <c r="F12" i="8"/>
  <c r="A12" i="8"/>
  <c r="G11" i="8"/>
  <c r="F11" i="8"/>
  <c r="A11" i="8"/>
  <c r="B6" i="8"/>
  <c r="B5" i="8"/>
  <c r="B4" i="8"/>
  <c r="C7" i="7"/>
  <c r="H16" i="8" s="1"/>
  <c r="C6" i="7"/>
  <c r="H15" i="8" s="1"/>
  <c r="C5" i="7"/>
  <c r="H14" i="8" s="1"/>
  <c r="C4" i="7"/>
  <c r="H13" i="8" s="1"/>
  <c r="C3" i="7"/>
  <c r="H12" i="8" s="1"/>
  <c r="C2" i="7"/>
  <c r="H11" i="8" s="1"/>
  <c r="C10" i="5"/>
  <c r="C19" i="8" s="1"/>
  <c r="B10" i="5"/>
  <c r="C9" i="5"/>
  <c r="B9" i="5"/>
  <c r="C8" i="5"/>
  <c r="C17" i="8" s="1"/>
  <c r="B8" i="5"/>
  <c r="C7" i="5"/>
  <c r="C16" i="8" s="1"/>
  <c r="B7" i="5"/>
  <c r="C6" i="5"/>
  <c r="C15" i="8" s="1"/>
  <c r="B6" i="5"/>
  <c r="C5" i="5"/>
  <c r="C14" i="8" s="1"/>
  <c r="B5" i="5"/>
  <c r="C4" i="5"/>
  <c r="C13" i="8" s="1"/>
  <c r="B4" i="5"/>
  <c r="C3" i="5"/>
  <c r="C12" i="8" s="1"/>
  <c r="B3" i="5"/>
  <c r="C2" i="5"/>
  <c r="C11" i="8" s="1"/>
  <c r="B2" i="5"/>
  <c r="C22" i="4"/>
  <c r="D22" i="4" s="1"/>
  <c r="C21" i="4"/>
  <c r="D21" i="4" s="1"/>
  <c r="C20" i="4"/>
  <c r="D20" i="4" s="1"/>
  <c r="C19" i="4"/>
  <c r="D19" i="4" s="1"/>
  <c r="D18" i="4"/>
  <c r="C18" i="4"/>
  <c r="C17" i="4"/>
  <c r="D17" i="4" s="1"/>
  <c r="C16" i="4"/>
  <c r="D16" i="4" s="1"/>
  <c r="C15" i="4"/>
  <c r="D15" i="4" s="1"/>
  <c r="C14" i="4"/>
  <c r="D14" i="4" s="1"/>
  <c r="C13" i="4"/>
  <c r="D13" i="4" s="1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C2" i="4"/>
  <c r="D2" i="4" s="1"/>
  <c r="B19" i="8" l="1"/>
  <c r="D10" i="5"/>
  <c r="D19" i="8" s="1"/>
  <c r="B18" i="8"/>
  <c r="D9" i="5"/>
  <c r="D18" i="8" s="1"/>
  <c r="B17" i="8"/>
  <c r="D8" i="5"/>
  <c r="D17" i="8" s="1"/>
  <c r="B16" i="8"/>
  <c r="D7" i="5"/>
  <c r="D16" i="8" s="1"/>
  <c r="D6" i="5"/>
  <c r="D15" i="8" s="1"/>
  <c r="B15" i="8"/>
  <c r="D5" i="5"/>
  <c r="D14" i="8" s="1"/>
  <c r="B14" i="8"/>
  <c r="D4" i="5"/>
  <c r="D13" i="8" s="1"/>
  <c r="B13" i="8"/>
  <c r="B12" i="8"/>
  <c r="D3" i="5"/>
  <c r="D12" i="8" s="1"/>
  <c r="D2" i="5"/>
  <c r="D11" i="8" s="1"/>
  <c r="B11" i="8"/>
</calcChain>
</file>

<file path=xl/sharedStrings.xml><?xml version="1.0" encoding="utf-8"?>
<sst xmlns="http://schemas.openxmlformats.org/spreadsheetml/2006/main" count="416" uniqueCount="235">
  <si>
    <t>Simulación de resultados – instrumentos de recolección</t>
  </si>
  <si>
    <t>Tema</t>
  </si>
  <si>
    <t>Análisis de prácticas de preservación forense de la información digital</t>
  </si>
  <si>
    <t>Institución de referencia</t>
  </si>
  <si>
    <t>Dirección de Sistemas de Información – MIDES</t>
  </si>
  <si>
    <t>Tipo de datos</t>
  </si>
  <si>
    <t>Simulados para fines académicos / hoja de trabajo</t>
  </si>
  <si>
    <t>Muestra simulada</t>
  </si>
  <si>
    <t>10 participantes</t>
  </si>
  <si>
    <t>Instrumentos</t>
  </si>
  <si>
    <t>Entrevista semiestructurada y lista de verificación</t>
  </si>
  <si>
    <t>Fecha de generación</t>
  </si>
  <si>
    <t>Nota</t>
  </si>
  <si>
    <t>Los datos no corresponden a una aplicación real; se utilizaron para demostrar ETL, tabulación y análisis.</t>
  </si>
  <si>
    <t>Uso sugerido</t>
  </si>
  <si>
    <t>Matriz base para gráficas, discusión de resultados y capítulo V.</t>
  </si>
  <si>
    <t>Carné</t>
  </si>
  <si>
    <t>2693-19-244</t>
  </si>
  <si>
    <t>Encuestado</t>
  </si>
  <si>
    <t>Cargo</t>
  </si>
  <si>
    <t>Tipo de rol</t>
  </si>
  <si>
    <t>P1 Políticas / lineamientos de gestión y protección</t>
  </si>
  <si>
    <t>P2 Procedimientos documentados para generación/entrega de información</t>
  </si>
  <si>
    <t>P3 Controles de acceso a sistemas</t>
  </si>
  <si>
    <t>P4 Nivel de logs/auditoría para accesos o consultas</t>
  </si>
  <si>
    <t>P5 Documentación del origen de datos en reportes</t>
  </si>
  <si>
    <t>P6 Mecanismos de verificación de integridad</t>
  </si>
  <si>
    <t>P7 Políticas documentadas de administración de seguridad</t>
  </si>
  <si>
    <t>P8 Procedimientos de control de calidad de datos</t>
  </si>
  <si>
    <t>P9 Informes sobre calidad del dato</t>
  </si>
  <si>
    <t>E1</t>
  </si>
  <si>
    <t>Programador de integración de datos</t>
  </si>
  <si>
    <t>Técnico</t>
  </si>
  <si>
    <t>Sí</t>
  </si>
  <si>
    <t>Implementado</t>
  </si>
  <si>
    <t>Medio</t>
  </si>
  <si>
    <t>Cumple</t>
  </si>
  <si>
    <t>E2</t>
  </si>
  <si>
    <t>Programador de programas sociales</t>
  </si>
  <si>
    <t>E3</t>
  </si>
  <si>
    <t>DBA</t>
  </si>
  <si>
    <t>Alto</t>
  </si>
  <si>
    <t>E4</t>
  </si>
  <si>
    <t>E5</t>
  </si>
  <si>
    <t>E6</t>
  </si>
  <si>
    <t>Jefe de diseño de procesos</t>
  </si>
  <si>
    <t>Jefatura</t>
  </si>
  <si>
    <t>Parcialmente implementado</t>
  </si>
  <si>
    <t>E7</t>
  </si>
  <si>
    <t>Jefe de información social</t>
  </si>
  <si>
    <t>E8</t>
  </si>
  <si>
    <t>Jefe general del área</t>
  </si>
  <si>
    <t>E9</t>
  </si>
  <si>
    <t>Administrativo de coordinación interinstitucional</t>
  </si>
  <si>
    <t>Administrativo</t>
  </si>
  <si>
    <t>No</t>
  </si>
  <si>
    <t>No cumple</t>
  </si>
  <si>
    <t>E10</t>
  </si>
  <si>
    <t>Administrativo de integración de datos</t>
  </si>
  <si>
    <t>Tipo de escala</t>
  </si>
  <si>
    <t>Respuesta</t>
  </si>
  <si>
    <t>Código</t>
  </si>
  <si>
    <t>Interpretación</t>
  </si>
  <si>
    <t>Binaria</t>
  </si>
  <si>
    <t>Cumplimiento</t>
  </si>
  <si>
    <t>No cumplimiento</t>
  </si>
  <si>
    <t>Implementación</t>
  </si>
  <si>
    <t>Cumplimiento alto</t>
  </si>
  <si>
    <t>Cumplimiento parcial</t>
  </si>
  <si>
    <t>No implementado</t>
  </si>
  <si>
    <t>Nivel</t>
  </si>
  <si>
    <t>Nivel alto</t>
  </si>
  <si>
    <t>Nivel medio</t>
  </si>
  <si>
    <t>Bajo</t>
  </si>
  <si>
    <t>Nivel bajo</t>
  </si>
  <si>
    <t>Pregunta</t>
  </si>
  <si>
    <t>Categoría</t>
  </si>
  <si>
    <t>Frecuencia</t>
  </si>
  <si>
    <t>Porcentaje</t>
  </si>
  <si>
    <t>P1 Políticas / lineamientos</t>
  </si>
  <si>
    <t>P2 Procedimientos documentados</t>
  </si>
  <si>
    <t>P3 Controles de acceso</t>
  </si>
  <si>
    <t>P4 Logs/auditoría</t>
  </si>
  <si>
    <t>P5 Origen de datos</t>
  </si>
  <si>
    <t>P6 Verificación de integridad</t>
  </si>
  <si>
    <t>P7 Seguridad de sistemas</t>
  </si>
  <si>
    <t>P8 Calidad de datos</t>
  </si>
  <si>
    <t>P9 Informes de calidad</t>
  </si>
  <si>
    <t>Dimensión</t>
  </si>
  <si>
    <t>Resultado favorable</t>
  </si>
  <si>
    <t>Total</t>
  </si>
  <si>
    <t>Porcentaje favorable</t>
  </si>
  <si>
    <t>Políticas / lineamientos</t>
  </si>
  <si>
    <t>Procedimientos documentados</t>
  </si>
  <si>
    <t>Controles de acceso</t>
  </si>
  <si>
    <t>Logs/auditoría</t>
  </si>
  <si>
    <t>Origen de datos</t>
  </si>
  <si>
    <t>Verificación de integridad</t>
  </si>
  <si>
    <t>Seguridad de sistemas</t>
  </si>
  <si>
    <t>Control calidad de datos</t>
  </si>
  <si>
    <t>Informes calidad del dato</t>
  </si>
  <si>
    <t>Políticas/lineamientos</t>
  </si>
  <si>
    <t>Comunicación</t>
  </si>
  <si>
    <t>Controles de integridad</t>
  </si>
  <si>
    <t>Origen/fuente de datos</t>
  </si>
  <si>
    <t>Logs y auditoría</t>
  </si>
  <si>
    <t>Medidas contra modificaciones</t>
  </si>
  <si>
    <t>Verificación de inconsistencias</t>
  </si>
  <si>
    <t>Prácticas importantes sugeridas</t>
  </si>
  <si>
    <t>Hallazgo sintético</t>
  </si>
  <si>
    <t>Reconoce lineamientos generales de seguridad.</t>
  </si>
  <si>
    <t>Reuniones técnicas, correos y lineamientos internos.</t>
  </si>
  <si>
    <t>Validaciones en sistemas, perfiles de usuario y controles de acceso.</t>
  </si>
  <si>
    <t>Identifica fuente y consultas usadas en integraciones/reportes.</t>
  </si>
  <si>
    <t>Logs en sistemas de integración y bases de datos.</t>
  </si>
  <si>
    <t>Permisos restringidos y validaciones internas.</t>
  </si>
  <si>
    <t>Revisión contra fuentes oficiales.</t>
  </si>
  <si>
    <t>Fortalecer auditoría y trazabilidad de consultas.</t>
  </si>
  <si>
    <t>Controles técnicos funcionales, con oportunidad de mayor formalización.</t>
  </si>
  <si>
    <t>Identifica políticas básicas de seguridad.</t>
  </si>
  <si>
    <t>Reuniones y comunicación interna.</t>
  </si>
  <si>
    <t>Credenciales individuales y validaciones de sistema.</t>
  </si>
  <si>
    <t>Validación de procedencia de datos.</t>
  </si>
  <si>
    <t>Bitácoras en algunos sistemas.</t>
  </si>
  <si>
    <t>Permisos según funciones.</t>
  </si>
  <si>
    <t>Validaciones cuando hay inconsistencias.</t>
  </si>
  <si>
    <t>Mayor monitoreo y documentación técnica.</t>
  </si>
  <si>
    <t>Buenas prácticas operativas, pero documentación parcial.</t>
  </si>
  <si>
    <t>Lineamientos de administración y protección de datos.</t>
  </si>
  <si>
    <t>Memorandos y lineamientos técnicos.</t>
  </si>
  <si>
    <t>Respaldos, accesos y monitoreo de cambios.</t>
  </si>
  <si>
    <t>Identificación de base y consulta empleada.</t>
  </si>
  <si>
    <t>Registros de actividad y auditoría.</t>
  </si>
  <si>
    <t>Roles y restricciones administrativas.</t>
  </si>
  <si>
    <t>Validación desde fuentes oficiales.</t>
  </si>
  <si>
    <t>Formalización documental y trazabilidad institucional.</t>
  </si>
  <si>
    <t>Fuerte control técnico desde bases de datos.</t>
  </si>
  <si>
    <t>Políticas institucionales de seguridad informática.</t>
  </si>
  <si>
    <t>Reuniones técnicas y comunicación institucional.</t>
  </si>
  <si>
    <t>Autenticación y monitoreo de accesos.</t>
  </si>
  <si>
    <t>Registro general de fuente utilizada.</t>
  </si>
  <si>
    <t>Logs en servidores y sistemas críticos.</t>
  </si>
  <si>
    <t>Restricción de permisos y monitoreo.</t>
  </si>
  <si>
    <t>Revisiones técnicas ante inconsistencias.</t>
  </si>
  <si>
    <t>Mantener respaldos y auditoría.</t>
  </si>
  <si>
    <t>Control técnico alto; procesos documentales mejorables.</t>
  </si>
  <si>
    <t>Lineamientos generales de protección.</t>
  </si>
  <si>
    <t>Correos institucionales y lineamientos internos.</t>
  </si>
  <si>
    <t>Controles de acceso y monitoreo de actividad.</t>
  </si>
  <si>
    <t>Rastreo de información hasta fuente institucional.</t>
  </si>
  <si>
    <t>Registros de actividad en sistemas críticos.</t>
  </si>
  <si>
    <t>Validaciones administrativas y técnicas.</t>
  </si>
  <si>
    <t>Verificación en bases institucionales.</t>
  </si>
  <si>
    <t>Fortalecer preservación digital.</t>
  </si>
  <si>
    <t>Trazabilidad técnica disponible, con necesidad de estandarización.</t>
  </si>
  <si>
    <t>Políticas de gestión y protección de información.</t>
  </si>
  <si>
    <t>Procedimientos internos y reuniones.</t>
  </si>
  <si>
    <t>Controles de acceso y validaciones institucionales.</t>
  </si>
  <si>
    <t>Procedimientos parciales de trazabilidad.</t>
  </si>
  <si>
    <t>Registros en algunos sistemas.</t>
  </si>
  <si>
    <t>Controles administrativos y validaciones.</t>
  </si>
  <si>
    <t>Revisión técnica e institucional.</t>
  </si>
  <si>
    <t>Estandarización de procesos.</t>
  </si>
  <si>
    <t>Existe enfoque de proceso, aunque no todo está formalizado.</t>
  </si>
  <si>
    <t>Lineamientos de seguridad de información institucional.</t>
  </si>
  <si>
    <t>Reuniones y lineamientos internos.</t>
  </si>
  <si>
    <t>Validación antes de compartir información.</t>
  </si>
  <si>
    <t>Control del origen de información para reportes.</t>
  </si>
  <si>
    <t>Algunos mecanismos de registro requieren fortalecimiento.</t>
  </si>
  <si>
    <t>Restricción de accesos y validación previa.</t>
  </si>
  <si>
    <t>Revisión de procedencia de datos.</t>
  </si>
  <si>
    <t>Auditorías y trazabilidad institucional.</t>
  </si>
  <si>
    <t>Alta conciencia de trazabilidad para información social.</t>
  </si>
  <si>
    <t>Políticas institucionales de protección digital.</t>
  </si>
  <si>
    <t>Lineamientos institucionales y supervisión.</t>
  </si>
  <si>
    <t>Controles técnicos y administrativos.</t>
  </si>
  <si>
    <t>Procedimientos para generación y validación.</t>
  </si>
  <si>
    <t>Registros en sistemas principales.</t>
  </si>
  <si>
    <t>Perfiles de acceso y validaciones.</t>
  </si>
  <si>
    <t>Revisión y validación institucional.</t>
  </si>
  <si>
    <t>Preservación y auditoría digital.</t>
  </si>
  <si>
    <t>Visión estratégica con necesidad de fortalecimiento integral.</t>
  </si>
  <si>
    <t>Lineamientos de manejo de información institucional.</t>
  </si>
  <si>
    <t>Instrucciones administrativas y reuniones.</t>
  </si>
  <si>
    <t>Revisión antes de compartir información.</t>
  </si>
  <si>
    <t>Control documental parcial por oficios y áreas.</t>
  </si>
  <si>
    <t>Registros dependen del sistema usado.</t>
  </si>
  <si>
    <t>Autorización de accesos y validaciones.</t>
  </si>
  <si>
    <t>Solicitud de revisión ante inconsistencias.</t>
  </si>
  <si>
    <t>Coordinación y documentación institucional.</t>
  </si>
  <si>
    <t>Predominan controles administrativos y trazabilidad documental.</t>
  </si>
  <si>
    <t>Políticas básicas de protección de información.</t>
  </si>
  <si>
    <t>Lineamientos internos y comunicación institucional.</t>
  </si>
  <si>
    <t>Validaciones antes de compartir información.</t>
  </si>
  <si>
    <t>Identificación general de fuente de datos.</t>
  </si>
  <si>
    <t>Ciertos registros de actividad en plataformas.</t>
  </si>
  <si>
    <t>Restricción de accesos y validaciones.</t>
  </si>
  <si>
    <t>Revisión previa a remisión oficial.</t>
  </si>
  <si>
    <t>Mejorar documentación y trazabilidad.</t>
  </si>
  <si>
    <t>Control administrativo funcional, con brechas documentales.</t>
  </si>
  <si>
    <t>Categoría de análisis</t>
  </si>
  <si>
    <t>Frecuencia de mención</t>
  </si>
  <si>
    <t>Controles de acceso/perfiles</t>
  </si>
  <si>
    <t>Todos los perfiles mencionan accesos y permisos como control principal.</t>
  </si>
  <si>
    <t>Logs/bitácoras/auditoría</t>
  </si>
  <si>
    <t>Existe capacidad de rastreo, especialmente en sistemas críticos.</t>
  </si>
  <si>
    <t>Documentación/trazabilidad parcial</t>
  </si>
  <si>
    <t>La brecha principal se ubica en formalización documental.</t>
  </si>
  <si>
    <t>Validación contra fuentes oficiales</t>
  </si>
  <si>
    <t>La fuente institucional se usa para validar reportes e inconsistencias.</t>
  </si>
  <si>
    <t>Necesidad de estandarización</t>
  </si>
  <si>
    <t>Se requiere fortalecer procedimientos transversales.</t>
  </si>
  <si>
    <t>Capacitación/fortalecimiento técnico</t>
  </si>
  <si>
    <t>Aparece como recomendación complementaria.</t>
  </si>
  <si>
    <t>Dashboard de resultados simulados</t>
  </si>
  <si>
    <t>Participantes</t>
  </si>
  <si>
    <t>Perfiles técnicos</t>
  </si>
  <si>
    <t>Jefaturas</t>
  </si>
  <si>
    <t>Administrativos</t>
  </si>
  <si>
    <t>Resultado clave</t>
  </si>
  <si>
    <t>Controles técnicos altos; documentación y trazabilidad requieren fortalecimiento.</t>
  </si>
  <si>
    <t>Favorable</t>
  </si>
  <si>
    <t>% Favorable</t>
  </si>
  <si>
    <t>Hallazgo cualitativo</t>
  </si>
  <si>
    <t>Borrador de análisis y discusión de resultados</t>
  </si>
  <si>
    <t>Análisis estadístico</t>
  </si>
  <si>
    <t>Los resultados simulados evidencian que la totalidad de participantes reconoce la existencia de políticas o lineamientos vinculados con la gestión y protección de la información digital. Asimismo, se observa un cumplimiento alto en administración de seguridad de sistemas. Sin embargo, los procedimientos documentados para generación y entrega de información, así como el control de calidad de datos, presentan menor consistencia en los perfiles administrativos, lo que refleja una brecha de formalización documental.</t>
  </si>
  <si>
    <t>Controles técnicos</t>
  </si>
  <si>
    <t>Los controles de acceso aparecen como una práctica ampliamente implementada, especialmente en perfiles técnicos como programadores y DBA. Las respuestas muestran uso de credenciales, perfiles, roles, permisos y monitoreo. Esto sugiere una base técnica favorable para proteger la información digital institucional.</t>
  </si>
  <si>
    <t>Trazabilidad y logs</t>
  </si>
  <si>
    <t>La generación de logs y bitácoras se identifica principalmente en sistemas críticos, bases de datos y plataformas de integración. No obstante, la implementación no es homogénea en todos los procesos, por lo que la trazabilidad institucional puede depender del sistema utilizado y del nivel de documentación del procedimiento.</t>
  </si>
  <si>
    <t>Discusión</t>
  </si>
  <si>
    <t>La triangulación entre checklist y entrevista permite afirmar que existen controles técnicos y administrativos funcionales; sin embargo, persisten oportunidades de mejora en documentación, estandarización y preservación forense digital. La hipótesis se sostiene de manera preliminar, debido a que un mayor nivel de implementación de prácticas de preservación forense favorece la integridad y trazabilidad de la información digital.</t>
  </si>
  <si>
    <t>Cumplimiento de objetivos</t>
  </si>
  <si>
    <t>La simulación permitió identificar prácticas existentes, evaluar el nivel de implementación de controles y reconocer brechas vinculadas con trazabilidad, auditoría y calidad del dato. Estos hallazgos aportan insumos para el capítulo V de análisis y discusión de resultados.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</si>
</sst>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left" vertical="center" wrapText="1"/>
    </xf>
    <xf numFmtId="164" fontId="0" fillId="4" borderId="0" xfId="0" applyNumberForma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9" fontId="0" fillId="0" borderId="0" xfId="0" applyNumberFormat="1"/>
    <xf numFmtId="9" fontId="0" fillId="0" borderId="0" xfId="0" applyNumberFormat="1" applyAlignment="1">
      <alignment wrapText="1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% favorable</c:v>
          </c:tx>
          <c:invertIfNegative val="1"/>
          <c:cat>
            <c:strRef>
              <c:f>Dashboard!$A$11:$A$19</c:f>
              <c:strCache>
                <c:ptCount val="9"/>
                <c:pt idx="0">
                  <c:v>Políticas / lineamientos</c:v>
                </c:pt>
                <c:pt idx="1">
                  <c:v>Procedimientos documentados</c:v>
                </c:pt>
                <c:pt idx="2">
                  <c:v>Controles de acceso</c:v>
                </c:pt>
                <c:pt idx="3">
                  <c:v>Logs/auditoría</c:v>
                </c:pt>
                <c:pt idx="4">
                  <c:v>Origen de datos</c:v>
                </c:pt>
                <c:pt idx="5">
                  <c:v>Verificación de integridad</c:v>
                </c:pt>
                <c:pt idx="6">
                  <c:v>Seguridad de sistemas</c:v>
                </c:pt>
                <c:pt idx="7">
                  <c:v>Control calidad de datos</c:v>
                </c:pt>
                <c:pt idx="8">
                  <c:v>Informes calidad del dato</c:v>
                </c:pt>
              </c:strCache>
            </c:strRef>
          </c:cat>
          <c:val>
            <c:numRef>
              <c:f>Dashboard!$D$11:$D$19</c:f>
              <c:numCache>
                <c:formatCode>0%</c:formatCode>
                <c:ptCount val="9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0.3</c:v>
                </c:pt>
                <c:pt idx="4">
                  <c:v>0.8</c:v>
                </c:pt>
                <c:pt idx="5">
                  <c:v>0.3</c:v>
                </c:pt>
                <c:pt idx="6">
                  <c:v>1</c:v>
                </c:pt>
                <c:pt idx="7">
                  <c:v>0.8</c:v>
                </c:pt>
                <c:pt idx="8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2-493F-BC0A-23ADD53B7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Frecuencia</c:v>
          </c:tx>
          <c:invertIfNegative val="1"/>
          <c:cat>
            <c:strRef>
              <c:f>Dashboard!$F$11:$F$16</c:f>
              <c:strCache>
                <c:ptCount val="6"/>
                <c:pt idx="0">
                  <c:v>Controles de acceso/perfiles</c:v>
                </c:pt>
                <c:pt idx="1">
                  <c:v>Logs/bitácoras/auditoría</c:v>
                </c:pt>
                <c:pt idx="2">
                  <c:v>Documentación/trazabilidad parcial</c:v>
                </c:pt>
                <c:pt idx="3">
                  <c:v>Validación contra fuentes oficiales</c:v>
                </c:pt>
                <c:pt idx="4">
                  <c:v>Necesidad de estandarización</c:v>
                </c:pt>
                <c:pt idx="5">
                  <c:v>Capacitación/fortalecimiento técnico</c:v>
                </c:pt>
              </c:strCache>
            </c:strRef>
          </c:cat>
          <c:val>
            <c:numRef>
              <c:f>Dashboard!$G$11:$G$16</c:f>
              <c:numCache>
                <c:formatCode>General</c:formatCode>
                <c:ptCount val="6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10</c:v>
                </c:pt>
                <c:pt idx="4">
                  <c:v>7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6-44F6-9548-4E540CDBB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hecklist" displayName="TablaChecklist" ref="A1:L11">
  <tableColumns count="12">
    <tableColumn id="1" xr3:uid="{00000000-0010-0000-0000-000001000000}" name="Encuestado"/>
    <tableColumn id="2" xr3:uid="{00000000-0010-0000-0000-000002000000}" name="Cargo"/>
    <tableColumn id="3" xr3:uid="{00000000-0010-0000-0000-000003000000}" name="Tipo de rol"/>
    <tableColumn id="4" xr3:uid="{00000000-0010-0000-0000-000004000000}" name="P1 Políticas / lineamientos de gestión y protección"/>
    <tableColumn id="5" xr3:uid="{00000000-0010-0000-0000-000005000000}" name="P2 Procedimientos documentados para generación/entrega de información"/>
    <tableColumn id="6" xr3:uid="{00000000-0010-0000-0000-000006000000}" name="P3 Controles de acceso a sistemas"/>
    <tableColumn id="7" xr3:uid="{00000000-0010-0000-0000-000007000000}" name="P4 Nivel de logs/auditoría para accesos o consultas"/>
    <tableColumn id="8" xr3:uid="{00000000-0010-0000-0000-000008000000}" name="P5 Documentación del origen de datos en reportes"/>
    <tableColumn id="9" xr3:uid="{00000000-0010-0000-0000-000009000000}" name="P6 Mecanismos de verificación de integridad"/>
    <tableColumn id="10" xr3:uid="{00000000-0010-0000-0000-00000A000000}" name="P7 Políticas documentadas de administración de seguridad"/>
    <tableColumn id="11" xr3:uid="{00000000-0010-0000-0000-00000B000000}" name="P8 Procedimientos de control de calidad de datos"/>
    <tableColumn id="12" xr3:uid="{00000000-0010-0000-0000-00000C000000}" name="P9 Informes sobre calidad del da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Codificacion" displayName="TablaCodificacion" ref="A1:D11">
  <tableColumns count="4">
    <tableColumn id="1" xr3:uid="{00000000-0010-0000-0100-000001000000}" name="Tipo de escala"/>
    <tableColumn id="2" xr3:uid="{00000000-0010-0000-0100-000002000000}" name="Respuesta"/>
    <tableColumn id="3" xr3:uid="{00000000-0010-0000-0100-000003000000}" name="Código"/>
    <tableColumn id="4" xr3:uid="{00000000-0010-0000-0100-000004000000}" name="Interpreta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Tabulacion" displayName="TablaTabulacion" ref="A1:D22">
  <tableColumns count="4">
    <tableColumn id="1" xr3:uid="{00000000-0010-0000-0200-000001000000}" name="Pregunta"/>
    <tableColumn id="2" xr3:uid="{00000000-0010-0000-0200-000002000000}" name="Categoría"/>
    <tableColumn id="3" xr3:uid="{00000000-0010-0000-0200-000003000000}" name="Frecuencia"/>
    <tableColumn id="4" xr3:uid="{00000000-0010-0000-0200-000004000000}" name="Porcentaj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Indicadores" displayName="TablaIndicadores" ref="A1:D10">
  <tableColumns count="4">
    <tableColumn id="1" xr3:uid="{00000000-0010-0000-0300-000001000000}" name="Dimensión"/>
    <tableColumn id="2" xr3:uid="{00000000-0010-0000-0300-000002000000}" name="Resultado favorable"/>
    <tableColumn id="3" xr3:uid="{00000000-0010-0000-0300-000003000000}" name="Total"/>
    <tableColumn id="4" xr3:uid="{00000000-0010-0000-0300-000004000000}" name="Porcentaje favorab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Entrevistas" displayName="TablaEntrevistas" ref="A1:L11">
  <tableColumns count="12">
    <tableColumn id="1" xr3:uid="{00000000-0010-0000-0400-000001000000}" name="Encuestado"/>
    <tableColumn id="2" xr3:uid="{00000000-0010-0000-0400-000002000000}" name="Cargo"/>
    <tableColumn id="3" xr3:uid="{00000000-0010-0000-0400-000003000000}" name="Tipo de rol"/>
    <tableColumn id="4" xr3:uid="{00000000-0010-0000-0400-000004000000}" name="Políticas/lineamientos"/>
    <tableColumn id="5" xr3:uid="{00000000-0010-0000-0400-000005000000}" name="Comunicación"/>
    <tableColumn id="6" xr3:uid="{00000000-0010-0000-0400-000006000000}" name="Controles de integridad"/>
    <tableColumn id="7" xr3:uid="{00000000-0010-0000-0400-000007000000}" name="Origen/fuente de datos"/>
    <tableColumn id="8" xr3:uid="{00000000-0010-0000-0400-000008000000}" name="Logs y auditoría"/>
    <tableColumn id="9" xr3:uid="{00000000-0010-0000-0400-000009000000}" name="Medidas contra modificaciones"/>
    <tableColumn id="10" xr3:uid="{00000000-0010-0000-0400-00000A000000}" name="Verificación de inconsistencias"/>
    <tableColumn id="11" xr3:uid="{00000000-0010-0000-0400-00000B000000}" name="Prácticas importantes sugeridas"/>
    <tableColumn id="12" xr3:uid="{00000000-0010-0000-0400-00000C000000}" name="Hallazgo sintétic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Categorias" displayName="TablaCategorias" ref="A1:D7">
  <tableColumns count="4">
    <tableColumn id="1" xr3:uid="{00000000-0010-0000-0500-000001000000}" name="Categoría de análisis"/>
    <tableColumn id="2" xr3:uid="{00000000-0010-0000-0500-000002000000}" name="Frecuencia de mención"/>
    <tableColumn id="3" xr3:uid="{00000000-0010-0000-0500-000003000000}" name="Porcentaje"/>
    <tableColumn id="4" xr3:uid="{00000000-0010-0000-0500-000004000000}" name="Interpret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B9" sqref="B9"/>
    </sheetView>
  </sheetViews>
  <sheetFormatPr baseColWidth="10" defaultColWidth="9" defaultRowHeight="14.25"/>
  <cols>
    <col min="1" max="1" width="28" customWidth="1"/>
    <col min="2" max="2" width="78" customWidth="1"/>
  </cols>
  <sheetData>
    <row r="1" spans="1:6" ht="18">
      <c r="A1" s="10" t="s">
        <v>0</v>
      </c>
      <c r="B1" s="11"/>
      <c r="C1" s="11"/>
      <c r="D1" s="11"/>
      <c r="E1" s="11"/>
      <c r="F1" s="11"/>
    </row>
    <row r="3" spans="1:6" ht="15">
      <c r="A3" s="1" t="s">
        <v>1</v>
      </c>
      <c r="B3" s="2" t="s">
        <v>2</v>
      </c>
    </row>
    <row r="4" spans="1:6" ht="15">
      <c r="A4" s="1" t="s">
        <v>3</v>
      </c>
      <c r="B4" s="2" t="s">
        <v>4</v>
      </c>
    </row>
    <row r="5" spans="1:6" ht="15">
      <c r="A5" s="1" t="s">
        <v>5</v>
      </c>
      <c r="B5" s="2" t="s">
        <v>6</v>
      </c>
    </row>
    <row r="6" spans="1:6" ht="15">
      <c r="A6" s="1" t="s">
        <v>7</v>
      </c>
      <c r="B6" s="2" t="s">
        <v>8</v>
      </c>
    </row>
    <row r="7" spans="1:6" ht="15">
      <c r="A7" s="1" t="s">
        <v>9</v>
      </c>
      <c r="B7" s="2" t="s">
        <v>10</v>
      </c>
    </row>
    <row r="8" spans="1:6" ht="15">
      <c r="A8" s="1" t="s">
        <v>11</v>
      </c>
      <c r="B8" s="3">
        <v>46165</v>
      </c>
    </row>
    <row r="9" spans="1:6" ht="28.5">
      <c r="A9" s="1" t="s">
        <v>12</v>
      </c>
      <c r="B9" s="2" t="s">
        <v>13</v>
      </c>
    </row>
    <row r="10" spans="1:6" ht="15">
      <c r="A10" s="1" t="s">
        <v>14</v>
      </c>
      <c r="B10" s="2" t="s">
        <v>15</v>
      </c>
    </row>
    <row r="11" spans="1:6" ht="15">
      <c r="A11" s="1" t="s">
        <v>16</v>
      </c>
      <c r="B11" s="2" t="s">
        <v>17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/>
  </sheetViews>
  <sheetFormatPr baseColWidth="10" defaultColWidth="9" defaultRowHeight="14.25"/>
  <cols>
    <col min="1" max="1" width="12" customWidth="1"/>
    <col min="2" max="2" width="34" customWidth="1"/>
    <col min="3" max="3" width="16" customWidth="1"/>
    <col min="4" max="4" width="28" customWidth="1"/>
    <col min="5" max="5" width="34" customWidth="1"/>
    <col min="6" max="7" width="24" customWidth="1"/>
    <col min="8" max="8" width="28" customWidth="1"/>
    <col min="9" max="9" width="24" customWidth="1"/>
    <col min="10" max="10" width="28" customWidth="1"/>
    <col min="11" max="11" width="26" customWidth="1"/>
    <col min="12" max="12" width="24" customWidth="1"/>
  </cols>
  <sheetData>
    <row r="1" spans="1:12" ht="4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</row>
    <row r="2" spans="1:12">
      <c r="A2" s="6" t="s">
        <v>30</v>
      </c>
      <c r="B2" s="6" t="s">
        <v>31</v>
      </c>
      <c r="C2" s="6" t="s">
        <v>32</v>
      </c>
      <c r="D2" s="6" t="s">
        <v>33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35</v>
      </c>
      <c r="J2" s="6" t="s">
        <v>33</v>
      </c>
      <c r="K2" s="6" t="s">
        <v>33</v>
      </c>
      <c r="L2" s="6" t="s">
        <v>33</v>
      </c>
    </row>
    <row r="3" spans="1:12">
      <c r="A3" s="6" t="s">
        <v>37</v>
      </c>
      <c r="B3" s="6" t="s">
        <v>38</v>
      </c>
      <c r="C3" s="6" t="s">
        <v>32</v>
      </c>
      <c r="D3" s="6" t="s">
        <v>33</v>
      </c>
      <c r="E3" s="6" t="s">
        <v>33</v>
      </c>
      <c r="F3" s="6" t="s">
        <v>34</v>
      </c>
      <c r="G3" s="6" t="s">
        <v>35</v>
      </c>
      <c r="H3" s="6" t="s">
        <v>36</v>
      </c>
      <c r="I3" s="6" t="s">
        <v>35</v>
      </c>
      <c r="J3" s="6" t="s">
        <v>33</v>
      </c>
      <c r="K3" s="6" t="s">
        <v>33</v>
      </c>
      <c r="L3" s="6" t="s">
        <v>33</v>
      </c>
    </row>
    <row r="4" spans="1:12">
      <c r="A4" s="6" t="s">
        <v>39</v>
      </c>
      <c r="B4" s="6" t="s">
        <v>40</v>
      </c>
      <c r="C4" s="6" t="s">
        <v>32</v>
      </c>
      <c r="D4" s="6" t="s">
        <v>33</v>
      </c>
      <c r="E4" s="6" t="s">
        <v>33</v>
      </c>
      <c r="F4" s="6" t="s">
        <v>34</v>
      </c>
      <c r="G4" s="6" t="s">
        <v>41</v>
      </c>
      <c r="H4" s="6" t="s">
        <v>36</v>
      </c>
      <c r="I4" s="6" t="s">
        <v>41</v>
      </c>
      <c r="J4" s="6" t="s">
        <v>33</v>
      </c>
      <c r="K4" s="6" t="s">
        <v>33</v>
      </c>
      <c r="L4" s="6" t="s">
        <v>33</v>
      </c>
    </row>
    <row r="5" spans="1:12">
      <c r="A5" s="6" t="s">
        <v>42</v>
      </c>
      <c r="B5" s="6" t="s">
        <v>40</v>
      </c>
      <c r="C5" s="6" t="s">
        <v>32</v>
      </c>
      <c r="D5" s="6" t="s">
        <v>33</v>
      </c>
      <c r="E5" s="6" t="s">
        <v>33</v>
      </c>
      <c r="F5" s="6" t="s">
        <v>34</v>
      </c>
      <c r="G5" s="6" t="s">
        <v>41</v>
      </c>
      <c r="H5" s="6" t="s">
        <v>36</v>
      </c>
      <c r="I5" s="6" t="s">
        <v>41</v>
      </c>
      <c r="J5" s="6" t="s">
        <v>33</v>
      </c>
      <c r="K5" s="6" t="s">
        <v>33</v>
      </c>
      <c r="L5" s="6" t="s">
        <v>33</v>
      </c>
    </row>
    <row r="6" spans="1:12">
      <c r="A6" s="6" t="s">
        <v>43</v>
      </c>
      <c r="B6" s="6" t="s">
        <v>40</v>
      </c>
      <c r="C6" s="6" t="s">
        <v>32</v>
      </c>
      <c r="D6" s="6" t="s">
        <v>33</v>
      </c>
      <c r="E6" s="6" t="s">
        <v>33</v>
      </c>
      <c r="F6" s="6" t="s">
        <v>34</v>
      </c>
      <c r="G6" s="6" t="s">
        <v>41</v>
      </c>
      <c r="H6" s="6" t="s">
        <v>36</v>
      </c>
      <c r="I6" s="6" t="s">
        <v>41</v>
      </c>
      <c r="J6" s="6" t="s">
        <v>33</v>
      </c>
      <c r="K6" s="6" t="s">
        <v>33</v>
      </c>
      <c r="L6" s="6" t="s">
        <v>33</v>
      </c>
    </row>
    <row r="7" spans="1:12">
      <c r="A7" s="6" t="s">
        <v>44</v>
      </c>
      <c r="B7" s="6" t="s">
        <v>45</v>
      </c>
      <c r="C7" s="6" t="s">
        <v>46</v>
      </c>
      <c r="D7" s="6" t="s">
        <v>33</v>
      </c>
      <c r="E7" s="6" t="s">
        <v>33</v>
      </c>
      <c r="F7" s="6" t="s">
        <v>47</v>
      </c>
      <c r="G7" s="6" t="s">
        <v>35</v>
      </c>
      <c r="H7" s="6" t="s">
        <v>36</v>
      </c>
      <c r="I7" s="6" t="s">
        <v>35</v>
      </c>
      <c r="J7" s="6" t="s">
        <v>33</v>
      </c>
      <c r="K7" s="6" t="s">
        <v>33</v>
      </c>
      <c r="L7" s="6" t="s">
        <v>33</v>
      </c>
    </row>
    <row r="8" spans="1:12">
      <c r="A8" s="6" t="s">
        <v>48</v>
      </c>
      <c r="B8" s="6" t="s">
        <v>49</v>
      </c>
      <c r="C8" s="6" t="s">
        <v>46</v>
      </c>
      <c r="D8" s="6" t="s">
        <v>33</v>
      </c>
      <c r="E8" s="6" t="s">
        <v>33</v>
      </c>
      <c r="F8" s="6" t="s">
        <v>47</v>
      </c>
      <c r="G8" s="6" t="s">
        <v>35</v>
      </c>
      <c r="H8" s="6" t="s">
        <v>36</v>
      </c>
      <c r="I8" s="6" t="s">
        <v>35</v>
      </c>
      <c r="J8" s="6" t="s">
        <v>33</v>
      </c>
      <c r="K8" s="6" t="s">
        <v>33</v>
      </c>
      <c r="L8" s="6" t="s">
        <v>33</v>
      </c>
    </row>
    <row r="9" spans="1:12">
      <c r="A9" s="6" t="s">
        <v>50</v>
      </c>
      <c r="B9" s="6" t="s">
        <v>51</v>
      </c>
      <c r="C9" s="6" t="s">
        <v>46</v>
      </c>
      <c r="D9" s="6" t="s">
        <v>33</v>
      </c>
      <c r="E9" s="6" t="s">
        <v>33</v>
      </c>
      <c r="F9" s="6" t="s">
        <v>34</v>
      </c>
      <c r="G9" s="6" t="s">
        <v>35</v>
      </c>
      <c r="H9" s="6" t="s">
        <v>36</v>
      </c>
      <c r="I9" s="6" t="s">
        <v>35</v>
      </c>
      <c r="J9" s="6" t="s">
        <v>33</v>
      </c>
      <c r="K9" s="6" t="s">
        <v>33</v>
      </c>
      <c r="L9" s="6" t="s">
        <v>33</v>
      </c>
    </row>
    <row r="10" spans="1:12" ht="28.5">
      <c r="A10" s="6" t="s">
        <v>52</v>
      </c>
      <c r="B10" s="6" t="s">
        <v>53</v>
      </c>
      <c r="C10" s="6" t="s">
        <v>54</v>
      </c>
      <c r="D10" s="6" t="s">
        <v>33</v>
      </c>
      <c r="E10" s="6" t="s">
        <v>55</v>
      </c>
      <c r="F10" s="6" t="s">
        <v>47</v>
      </c>
      <c r="G10" s="6" t="s">
        <v>35</v>
      </c>
      <c r="H10" s="6" t="s">
        <v>56</v>
      </c>
      <c r="I10" s="6" t="s">
        <v>35</v>
      </c>
      <c r="J10" s="6" t="s">
        <v>33</v>
      </c>
      <c r="K10" s="6" t="s">
        <v>55</v>
      </c>
      <c r="L10" s="6" t="s">
        <v>55</v>
      </c>
    </row>
    <row r="11" spans="1:12">
      <c r="A11" s="6" t="s">
        <v>57</v>
      </c>
      <c r="B11" s="6" t="s">
        <v>58</v>
      </c>
      <c r="C11" s="6" t="s">
        <v>54</v>
      </c>
      <c r="D11" s="6" t="s">
        <v>33</v>
      </c>
      <c r="E11" s="6" t="s">
        <v>55</v>
      </c>
      <c r="F11" s="6" t="s">
        <v>47</v>
      </c>
      <c r="G11" s="6" t="s">
        <v>35</v>
      </c>
      <c r="H11" s="6" t="s">
        <v>56</v>
      </c>
      <c r="I11" s="6" t="s">
        <v>35</v>
      </c>
      <c r="J11" s="6" t="s">
        <v>33</v>
      </c>
      <c r="K11" s="6" t="s">
        <v>55</v>
      </c>
      <c r="L11" s="6" t="s">
        <v>55</v>
      </c>
    </row>
  </sheetData>
  <dataValidations count="4">
    <dataValidation type="list" sqref="D2:E11 J2:L11" xr:uid="{00000000-0002-0000-0100-000000000000}">
      <formula1>"Sí,No"</formula1>
    </dataValidation>
    <dataValidation type="list" sqref="F2:F11" xr:uid="{00000000-0002-0000-0100-000002000000}">
      <formula1>"Implementado,Parcialmente implementado,No implementado"</formula1>
    </dataValidation>
    <dataValidation type="list" sqref="G2:G11 I2:I11" xr:uid="{00000000-0002-0000-0100-000003000000}">
      <formula1>"Bajo,Medio,Alto"</formula1>
    </dataValidation>
    <dataValidation type="list" sqref="H2:H11" xr:uid="{00000000-0002-0000-0100-000005000000}">
      <formula1>"Cumple,No cumple"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baseColWidth="10" defaultColWidth="9" defaultRowHeight="14.25"/>
  <cols>
    <col min="1" max="4" width="24" customWidth="1"/>
  </cols>
  <sheetData>
    <row r="1" spans="1:4" ht="15">
      <c r="A1" s="4" t="s">
        <v>59</v>
      </c>
      <c r="B1" s="4" t="s">
        <v>60</v>
      </c>
      <c r="C1" s="4" t="s">
        <v>61</v>
      </c>
      <c r="D1" s="4" t="s">
        <v>62</v>
      </c>
    </row>
    <row r="2" spans="1:4">
      <c r="A2" t="s">
        <v>63</v>
      </c>
      <c r="B2" t="s">
        <v>33</v>
      </c>
      <c r="C2">
        <v>1</v>
      </c>
      <c r="D2" t="s">
        <v>64</v>
      </c>
    </row>
    <row r="3" spans="1:4">
      <c r="A3" t="s">
        <v>63</v>
      </c>
      <c r="B3" t="s">
        <v>55</v>
      </c>
      <c r="C3">
        <v>0</v>
      </c>
      <c r="D3" t="s">
        <v>65</v>
      </c>
    </row>
    <row r="4" spans="1:4">
      <c r="A4" t="s">
        <v>66</v>
      </c>
      <c r="B4" t="s">
        <v>34</v>
      </c>
      <c r="C4">
        <v>2</v>
      </c>
      <c r="D4" t="s">
        <v>67</v>
      </c>
    </row>
    <row r="5" spans="1:4">
      <c r="A5" t="s">
        <v>66</v>
      </c>
      <c r="B5" t="s">
        <v>47</v>
      </c>
      <c r="C5">
        <v>1</v>
      </c>
      <c r="D5" t="s">
        <v>68</v>
      </c>
    </row>
    <row r="6" spans="1:4">
      <c r="A6" t="s">
        <v>66</v>
      </c>
      <c r="B6" t="s">
        <v>69</v>
      </c>
      <c r="C6">
        <v>0</v>
      </c>
      <c r="D6" t="s">
        <v>65</v>
      </c>
    </row>
    <row r="7" spans="1:4">
      <c r="A7" t="s">
        <v>70</v>
      </c>
      <c r="B7" t="s">
        <v>41</v>
      </c>
      <c r="C7">
        <v>2</v>
      </c>
      <c r="D7" t="s">
        <v>71</v>
      </c>
    </row>
    <row r="8" spans="1:4">
      <c r="A8" t="s">
        <v>70</v>
      </c>
      <c r="B8" t="s">
        <v>35</v>
      </c>
      <c r="C8">
        <v>1</v>
      </c>
      <c r="D8" t="s">
        <v>72</v>
      </c>
    </row>
    <row r="9" spans="1:4">
      <c r="A9" t="s">
        <v>70</v>
      </c>
      <c r="B9" t="s">
        <v>73</v>
      </c>
      <c r="C9">
        <v>0</v>
      </c>
      <c r="D9" t="s">
        <v>74</v>
      </c>
    </row>
    <row r="10" spans="1:4">
      <c r="A10" t="s">
        <v>64</v>
      </c>
      <c r="B10" t="s">
        <v>36</v>
      </c>
      <c r="C10">
        <v>1</v>
      </c>
      <c r="D10" t="s">
        <v>64</v>
      </c>
    </row>
    <row r="11" spans="1:4">
      <c r="A11" t="s">
        <v>64</v>
      </c>
      <c r="B11" t="s">
        <v>56</v>
      </c>
      <c r="C11">
        <v>0</v>
      </c>
      <c r="D11" t="s">
        <v>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workbookViewId="0"/>
  </sheetViews>
  <sheetFormatPr baseColWidth="10" defaultColWidth="9" defaultRowHeight="14.25"/>
  <cols>
    <col min="1" max="1" width="34" customWidth="1"/>
    <col min="2" max="2" width="28" customWidth="1"/>
    <col min="3" max="4" width="14" customWidth="1"/>
  </cols>
  <sheetData>
    <row r="1" spans="1:4" ht="15">
      <c r="A1" s="4" t="s">
        <v>75</v>
      </c>
      <c r="B1" s="4" t="s">
        <v>76</v>
      </c>
      <c r="C1" s="4" t="s">
        <v>77</v>
      </c>
      <c r="D1" s="4" t="s">
        <v>78</v>
      </c>
    </row>
    <row r="2" spans="1:4">
      <c r="A2" t="s">
        <v>79</v>
      </c>
      <c r="B2" t="s">
        <v>33</v>
      </c>
      <c r="C2">
        <f>COUNTIF(Matriz_Checklist!$D$2:$D$11,B2)</f>
        <v>10</v>
      </c>
      <c r="D2" s="7">
        <f>C2/COUNTA(Matriz_Checklist!$D$2:$D$11)</f>
        <v>1</v>
      </c>
    </row>
    <row r="3" spans="1:4">
      <c r="A3" t="s">
        <v>79</v>
      </c>
      <c r="B3" t="s">
        <v>55</v>
      </c>
      <c r="C3">
        <f>COUNTIF(Matriz_Checklist!$D$2:$D$11,B3)</f>
        <v>0</v>
      </c>
      <c r="D3" s="7">
        <f>C3/COUNTA(Matriz_Checklist!$D$2:$D$11)</f>
        <v>0</v>
      </c>
    </row>
    <row r="4" spans="1:4">
      <c r="A4" t="s">
        <v>80</v>
      </c>
      <c r="B4" t="s">
        <v>33</v>
      </c>
      <c r="C4">
        <f>COUNTIF(Matriz_Checklist!$E$2:$E$11,B4)</f>
        <v>8</v>
      </c>
      <c r="D4" s="7">
        <f>C4/COUNTA(Matriz_Checklist!$E$2:$E$11)</f>
        <v>0.8</v>
      </c>
    </row>
    <row r="5" spans="1:4">
      <c r="A5" t="s">
        <v>80</v>
      </c>
      <c r="B5" t="s">
        <v>55</v>
      </c>
      <c r="C5">
        <f>COUNTIF(Matriz_Checklist!$E$2:$E$11,B5)</f>
        <v>2</v>
      </c>
      <c r="D5" s="7">
        <f>C5/COUNTA(Matriz_Checklist!$E$2:$E$11)</f>
        <v>0.2</v>
      </c>
    </row>
    <row r="6" spans="1:4">
      <c r="A6" t="s">
        <v>81</v>
      </c>
      <c r="B6" t="s">
        <v>34</v>
      </c>
      <c r="C6">
        <f>COUNTIF(Matriz_Checklist!$F$2:$F$11,B6)</f>
        <v>6</v>
      </c>
      <c r="D6" s="7">
        <f>C6/COUNTA(Matriz_Checklist!$F$2:$F$11)</f>
        <v>0.6</v>
      </c>
    </row>
    <row r="7" spans="1:4">
      <c r="A7" t="s">
        <v>81</v>
      </c>
      <c r="B7" t="s">
        <v>47</v>
      </c>
      <c r="C7">
        <f>COUNTIF(Matriz_Checklist!$F$2:$F$11,B7)</f>
        <v>4</v>
      </c>
      <c r="D7" s="7">
        <f>C7/COUNTA(Matriz_Checklist!$F$2:$F$11)</f>
        <v>0.4</v>
      </c>
    </row>
    <row r="8" spans="1:4">
      <c r="A8" t="s">
        <v>81</v>
      </c>
      <c r="B8" t="s">
        <v>69</v>
      </c>
      <c r="C8">
        <f>COUNTIF(Matriz_Checklist!$F$2:$F$11,B8)</f>
        <v>0</v>
      </c>
      <c r="D8" s="7">
        <f>C8/COUNTA(Matriz_Checklist!$F$2:$F$11)</f>
        <v>0</v>
      </c>
    </row>
    <row r="9" spans="1:4">
      <c r="A9" t="s">
        <v>82</v>
      </c>
      <c r="B9" t="s">
        <v>41</v>
      </c>
      <c r="C9">
        <f>COUNTIF(Matriz_Checklist!$G$2:$G$11,B9)</f>
        <v>3</v>
      </c>
      <c r="D9" s="7">
        <f>C9/COUNTA(Matriz_Checklist!$G$2:$G$11)</f>
        <v>0.3</v>
      </c>
    </row>
    <row r="10" spans="1:4">
      <c r="A10" t="s">
        <v>82</v>
      </c>
      <c r="B10" t="s">
        <v>35</v>
      </c>
      <c r="C10">
        <f>COUNTIF(Matriz_Checklist!$G$2:$G$11,B10)</f>
        <v>7</v>
      </c>
      <c r="D10" s="7">
        <f>C10/COUNTA(Matriz_Checklist!$G$2:$G$11)</f>
        <v>0.7</v>
      </c>
    </row>
    <row r="11" spans="1:4">
      <c r="A11" t="s">
        <v>82</v>
      </c>
      <c r="B11" t="s">
        <v>73</v>
      </c>
      <c r="C11">
        <f>COUNTIF(Matriz_Checklist!$G$2:$G$11,B11)</f>
        <v>0</v>
      </c>
      <c r="D11" s="7">
        <f>C11/COUNTA(Matriz_Checklist!$G$2:$G$11)</f>
        <v>0</v>
      </c>
    </row>
    <row r="12" spans="1:4">
      <c r="A12" t="s">
        <v>83</v>
      </c>
      <c r="B12" t="s">
        <v>36</v>
      </c>
      <c r="C12">
        <f>COUNTIF(Matriz_Checklist!$H$2:$H$11,B12)</f>
        <v>8</v>
      </c>
      <c r="D12" s="7">
        <f>C12/COUNTA(Matriz_Checklist!$H$2:$H$11)</f>
        <v>0.8</v>
      </c>
    </row>
    <row r="13" spans="1:4">
      <c r="A13" t="s">
        <v>83</v>
      </c>
      <c r="B13" t="s">
        <v>56</v>
      </c>
      <c r="C13">
        <f>COUNTIF(Matriz_Checklist!$H$2:$H$11,B13)</f>
        <v>2</v>
      </c>
      <c r="D13" s="7">
        <f>C13/COUNTA(Matriz_Checklist!$H$2:$H$11)</f>
        <v>0.2</v>
      </c>
    </row>
    <row r="14" spans="1:4">
      <c r="A14" t="s">
        <v>84</v>
      </c>
      <c r="B14" t="s">
        <v>41</v>
      </c>
      <c r="C14">
        <f>COUNTIF(Matriz_Checklist!$I$2:$I$11,B14)</f>
        <v>3</v>
      </c>
      <c r="D14" s="7">
        <f>C14/COUNTA(Matriz_Checklist!$I$2:$I$11)</f>
        <v>0.3</v>
      </c>
    </row>
    <row r="15" spans="1:4">
      <c r="A15" t="s">
        <v>84</v>
      </c>
      <c r="B15" t="s">
        <v>35</v>
      </c>
      <c r="C15">
        <f>COUNTIF(Matriz_Checklist!$I$2:$I$11,B15)</f>
        <v>7</v>
      </c>
      <c r="D15" s="7">
        <f>C15/COUNTA(Matriz_Checklist!$I$2:$I$11)</f>
        <v>0.7</v>
      </c>
    </row>
    <row r="16" spans="1:4">
      <c r="A16" t="s">
        <v>84</v>
      </c>
      <c r="B16" t="s">
        <v>73</v>
      </c>
      <c r="C16">
        <f>COUNTIF(Matriz_Checklist!$I$2:$I$11,B16)</f>
        <v>0</v>
      </c>
      <c r="D16" s="7">
        <f>C16/COUNTA(Matriz_Checklist!$I$2:$I$11)</f>
        <v>0</v>
      </c>
    </row>
    <row r="17" spans="1:4">
      <c r="A17" t="s">
        <v>85</v>
      </c>
      <c r="B17" t="s">
        <v>33</v>
      </c>
      <c r="C17">
        <f>COUNTIF(Matriz_Checklist!$J$2:$J$11,B17)</f>
        <v>10</v>
      </c>
      <c r="D17" s="7">
        <f>C17/COUNTA(Matriz_Checklist!$J$2:$J$11)</f>
        <v>1</v>
      </c>
    </row>
    <row r="18" spans="1:4">
      <c r="A18" t="s">
        <v>85</v>
      </c>
      <c r="B18" t="s">
        <v>55</v>
      </c>
      <c r="C18">
        <f>COUNTIF(Matriz_Checklist!$J$2:$J$11,B18)</f>
        <v>0</v>
      </c>
      <c r="D18" s="7">
        <f>C18/COUNTA(Matriz_Checklist!$J$2:$J$11)</f>
        <v>0</v>
      </c>
    </row>
    <row r="19" spans="1:4">
      <c r="A19" t="s">
        <v>86</v>
      </c>
      <c r="B19" t="s">
        <v>33</v>
      </c>
      <c r="C19">
        <f>COUNTIF(Matriz_Checklist!$K$2:$K$11,B19)</f>
        <v>8</v>
      </c>
      <c r="D19" s="7">
        <f>C19/COUNTA(Matriz_Checklist!$K$2:$K$11)</f>
        <v>0.8</v>
      </c>
    </row>
    <row r="20" spans="1:4">
      <c r="A20" t="s">
        <v>86</v>
      </c>
      <c r="B20" t="s">
        <v>55</v>
      </c>
      <c r="C20">
        <f>COUNTIF(Matriz_Checklist!$K$2:$K$11,B20)</f>
        <v>2</v>
      </c>
      <c r="D20" s="7">
        <f>C20/COUNTA(Matriz_Checklist!$K$2:$K$11)</f>
        <v>0.2</v>
      </c>
    </row>
    <row r="21" spans="1:4">
      <c r="A21" t="s">
        <v>87</v>
      </c>
      <c r="B21" t="s">
        <v>33</v>
      </c>
      <c r="C21">
        <f>COUNTIF(Matriz_Checklist!$L$2:$L$11,B21)</f>
        <v>8</v>
      </c>
      <c r="D21" s="7">
        <f>C21/COUNTA(Matriz_Checklist!$L$2:$L$11)</f>
        <v>0.8</v>
      </c>
    </row>
    <row r="22" spans="1:4">
      <c r="A22" t="s">
        <v>87</v>
      </c>
      <c r="B22" t="s">
        <v>55</v>
      </c>
      <c r="C22">
        <f>COUNTIF(Matriz_Checklist!$L$2:$L$11,B22)</f>
        <v>2</v>
      </c>
      <c r="D22" s="7">
        <f>C22/COUNTA(Matriz_Checklist!$L$2:$L$11)</f>
        <v>0.2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baseColWidth="10" defaultColWidth="9" defaultRowHeight="14.25"/>
  <cols>
    <col min="1" max="4" width="28" customWidth="1"/>
  </cols>
  <sheetData>
    <row r="1" spans="1:4" ht="15">
      <c r="A1" s="4" t="s">
        <v>88</v>
      </c>
      <c r="B1" s="4" t="s">
        <v>89</v>
      </c>
      <c r="C1" s="4" t="s">
        <v>90</v>
      </c>
      <c r="D1" s="4" t="s">
        <v>91</v>
      </c>
    </row>
    <row r="2" spans="1:4">
      <c r="A2" t="s">
        <v>92</v>
      </c>
      <c r="B2">
        <f>COUNTIF(Matriz_Checklist!D2:D11,"Sí")</f>
        <v>10</v>
      </c>
      <c r="C2">
        <f>COUNTA(Matriz_Checklist!D2:D11)</f>
        <v>10</v>
      </c>
      <c r="D2" s="7">
        <f t="shared" ref="D2:D10" si="0">B2/C2</f>
        <v>1</v>
      </c>
    </row>
    <row r="3" spans="1:4">
      <c r="A3" t="s">
        <v>93</v>
      </c>
      <c r="B3">
        <f>COUNTIF(Matriz_Checklist!E2:E11,"Sí")</f>
        <v>8</v>
      </c>
      <c r="C3">
        <f>COUNTA(Matriz_Checklist!E2:E11)</f>
        <v>10</v>
      </c>
      <c r="D3" s="7">
        <f t="shared" si="0"/>
        <v>0.8</v>
      </c>
    </row>
    <row r="4" spans="1:4">
      <c r="A4" t="s">
        <v>94</v>
      </c>
      <c r="B4">
        <f>COUNTIF(Matriz_Checklist!F2:F11,"Implementado")</f>
        <v>6</v>
      </c>
      <c r="C4">
        <f>COUNTA(Matriz_Checklist!F2:F11)</f>
        <v>10</v>
      </c>
      <c r="D4" s="7">
        <f t="shared" si="0"/>
        <v>0.6</v>
      </c>
    </row>
    <row r="5" spans="1:4">
      <c r="A5" t="s">
        <v>95</v>
      </c>
      <c r="B5">
        <f>COUNTIF(Matriz_Checklist!G2:G11,"Alto")</f>
        <v>3</v>
      </c>
      <c r="C5">
        <f>COUNTA(Matriz_Checklist!G2:G11)</f>
        <v>10</v>
      </c>
      <c r="D5" s="7">
        <f t="shared" si="0"/>
        <v>0.3</v>
      </c>
    </row>
    <row r="6" spans="1:4">
      <c r="A6" t="s">
        <v>96</v>
      </c>
      <c r="B6">
        <f>COUNTIF(Matriz_Checklist!H2:H11,"Cumple")</f>
        <v>8</v>
      </c>
      <c r="C6">
        <f>COUNTA(Matriz_Checklist!H2:H11)</f>
        <v>10</v>
      </c>
      <c r="D6" s="7">
        <f t="shared" si="0"/>
        <v>0.8</v>
      </c>
    </row>
    <row r="7" spans="1:4">
      <c r="A7" t="s">
        <v>97</v>
      </c>
      <c r="B7">
        <f>COUNTIF(Matriz_Checklist!I2:I11,"Alto")</f>
        <v>3</v>
      </c>
      <c r="C7">
        <f>COUNTA(Matriz_Checklist!I2:I11)</f>
        <v>10</v>
      </c>
      <c r="D7" s="7">
        <f t="shared" si="0"/>
        <v>0.3</v>
      </c>
    </row>
    <row r="8" spans="1:4">
      <c r="A8" t="s">
        <v>98</v>
      </c>
      <c r="B8">
        <f>COUNTIF(Matriz_Checklist!J2:J11,"Sí")</f>
        <v>10</v>
      </c>
      <c r="C8">
        <f>COUNTA(Matriz_Checklist!J2:J11)</f>
        <v>10</v>
      </c>
      <c r="D8" s="7">
        <f t="shared" si="0"/>
        <v>1</v>
      </c>
    </row>
    <row r="9" spans="1:4">
      <c r="A9" t="s">
        <v>99</v>
      </c>
      <c r="B9">
        <f>COUNTIF(Matriz_Checklist!K2:K11,"Sí")</f>
        <v>8</v>
      </c>
      <c r="C9">
        <f>COUNTA(Matriz_Checklist!K2:K11)</f>
        <v>10</v>
      </c>
      <c r="D9" s="7">
        <f t="shared" si="0"/>
        <v>0.8</v>
      </c>
    </row>
    <row r="10" spans="1:4">
      <c r="A10" t="s">
        <v>100</v>
      </c>
      <c r="B10">
        <f>COUNTIF(Matriz_Checklist!L2:L11,"Sí")</f>
        <v>8</v>
      </c>
      <c r="C10">
        <f>COUNTA(Matriz_Checklist!L2:L11)</f>
        <v>10</v>
      </c>
      <c r="D10" s="7">
        <f t="shared" si="0"/>
        <v>0.8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"/>
  <sheetViews>
    <sheetView workbookViewId="0"/>
  </sheetViews>
  <sheetFormatPr baseColWidth="10" defaultColWidth="9" defaultRowHeight="14.25"/>
  <cols>
    <col min="1" max="1" width="12" customWidth="1"/>
    <col min="2" max="2" width="34" customWidth="1"/>
    <col min="3" max="3" width="16" customWidth="1"/>
    <col min="4" max="5" width="32" customWidth="1"/>
    <col min="6" max="7" width="36" customWidth="1"/>
    <col min="8" max="11" width="34" customWidth="1"/>
    <col min="12" max="12" width="44" customWidth="1"/>
  </cols>
  <sheetData>
    <row r="1" spans="1:12" ht="15">
      <c r="A1" s="4" t="s">
        <v>18</v>
      </c>
      <c r="B1" s="4" t="s">
        <v>19</v>
      </c>
      <c r="C1" s="4" t="s">
        <v>20</v>
      </c>
      <c r="D1" s="4" t="s">
        <v>101</v>
      </c>
      <c r="E1" s="4" t="s">
        <v>102</v>
      </c>
      <c r="F1" s="4" t="s">
        <v>103</v>
      </c>
      <c r="G1" s="4" t="s">
        <v>104</v>
      </c>
      <c r="H1" s="4" t="s">
        <v>105</v>
      </c>
      <c r="I1" s="4" t="s">
        <v>106</v>
      </c>
      <c r="J1" s="4" t="s">
        <v>107</v>
      </c>
      <c r="K1" s="4" t="s">
        <v>108</v>
      </c>
      <c r="L1" s="4" t="s">
        <v>109</v>
      </c>
    </row>
    <row r="2" spans="1:12" ht="28.5">
      <c r="A2" s="5" t="s">
        <v>30</v>
      </c>
      <c r="B2" s="5" t="s">
        <v>31</v>
      </c>
      <c r="C2" s="5" t="s">
        <v>32</v>
      </c>
      <c r="D2" s="5" t="s">
        <v>110</v>
      </c>
      <c r="E2" s="5" t="s">
        <v>111</v>
      </c>
      <c r="F2" s="5" t="s">
        <v>112</v>
      </c>
      <c r="G2" s="5" t="s">
        <v>113</v>
      </c>
      <c r="H2" s="5" t="s">
        <v>114</v>
      </c>
      <c r="I2" s="5" t="s">
        <v>115</v>
      </c>
      <c r="J2" s="5" t="s">
        <v>116</v>
      </c>
      <c r="K2" s="5" t="s">
        <v>117</v>
      </c>
      <c r="L2" s="5" t="s">
        <v>118</v>
      </c>
    </row>
    <row r="3" spans="1:12" ht="28.5">
      <c r="A3" s="5" t="s">
        <v>37</v>
      </c>
      <c r="B3" s="5" t="s">
        <v>38</v>
      </c>
      <c r="C3" s="5" t="s">
        <v>32</v>
      </c>
      <c r="D3" s="5" t="s">
        <v>119</v>
      </c>
      <c r="E3" s="5" t="s">
        <v>120</v>
      </c>
      <c r="F3" s="5" t="s">
        <v>121</v>
      </c>
      <c r="G3" s="5" t="s">
        <v>122</v>
      </c>
      <c r="H3" s="5" t="s">
        <v>123</v>
      </c>
      <c r="I3" s="5" t="s">
        <v>124</v>
      </c>
      <c r="J3" s="5" t="s">
        <v>125</v>
      </c>
      <c r="K3" s="5" t="s">
        <v>126</v>
      </c>
      <c r="L3" s="5" t="s">
        <v>127</v>
      </c>
    </row>
    <row r="4" spans="1:12" ht="28.5">
      <c r="A4" s="5" t="s">
        <v>39</v>
      </c>
      <c r="B4" s="5" t="s">
        <v>40</v>
      </c>
      <c r="C4" s="5" t="s">
        <v>32</v>
      </c>
      <c r="D4" s="5" t="s">
        <v>128</v>
      </c>
      <c r="E4" s="5" t="s">
        <v>129</v>
      </c>
      <c r="F4" s="5" t="s">
        <v>130</v>
      </c>
      <c r="G4" s="5" t="s">
        <v>131</v>
      </c>
      <c r="H4" s="5" t="s">
        <v>132</v>
      </c>
      <c r="I4" s="5" t="s">
        <v>133</v>
      </c>
      <c r="J4" s="5" t="s">
        <v>134</v>
      </c>
      <c r="K4" s="5" t="s">
        <v>135</v>
      </c>
      <c r="L4" s="5" t="s">
        <v>136</v>
      </c>
    </row>
    <row r="5" spans="1:12" ht="28.5">
      <c r="A5" s="5" t="s">
        <v>42</v>
      </c>
      <c r="B5" s="5" t="s">
        <v>40</v>
      </c>
      <c r="C5" s="5" t="s">
        <v>32</v>
      </c>
      <c r="D5" s="5" t="s">
        <v>137</v>
      </c>
      <c r="E5" s="5" t="s">
        <v>138</v>
      </c>
      <c r="F5" s="5" t="s">
        <v>139</v>
      </c>
      <c r="G5" s="5" t="s">
        <v>140</v>
      </c>
      <c r="H5" s="5" t="s">
        <v>141</v>
      </c>
      <c r="I5" s="5" t="s">
        <v>142</v>
      </c>
      <c r="J5" s="5" t="s">
        <v>143</v>
      </c>
      <c r="K5" s="5" t="s">
        <v>144</v>
      </c>
      <c r="L5" s="5" t="s">
        <v>145</v>
      </c>
    </row>
    <row r="6" spans="1:12" ht="28.5">
      <c r="A6" s="5" t="s">
        <v>43</v>
      </c>
      <c r="B6" s="5" t="s">
        <v>40</v>
      </c>
      <c r="C6" s="5" t="s">
        <v>32</v>
      </c>
      <c r="D6" s="5" t="s">
        <v>146</v>
      </c>
      <c r="E6" s="5" t="s">
        <v>147</v>
      </c>
      <c r="F6" s="5" t="s">
        <v>148</v>
      </c>
      <c r="G6" s="5" t="s">
        <v>149</v>
      </c>
      <c r="H6" s="5" t="s">
        <v>150</v>
      </c>
      <c r="I6" s="5" t="s">
        <v>151</v>
      </c>
      <c r="J6" s="5" t="s">
        <v>152</v>
      </c>
      <c r="K6" s="5" t="s">
        <v>153</v>
      </c>
      <c r="L6" s="5" t="s">
        <v>154</v>
      </c>
    </row>
    <row r="7" spans="1:12" ht="28.5">
      <c r="A7" s="5" t="s">
        <v>44</v>
      </c>
      <c r="B7" s="5" t="s">
        <v>45</v>
      </c>
      <c r="C7" s="5" t="s">
        <v>46</v>
      </c>
      <c r="D7" s="5" t="s">
        <v>155</v>
      </c>
      <c r="E7" s="5" t="s">
        <v>156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163</v>
      </c>
    </row>
    <row r="8" spans="1:12" ht="28.5">
      <c r="A8" s="5" t="s">
        <v>48</v>
      </c>
      <c r="B8" s="5" t="s">
        <v>49</v>
      </c>
      <c r="C8" s="5" t="s">
        <v>46</v>
      </c>
      <c r="D8" s="5" t="s">
        <v>164</v>
      </c>
      <c r="E8" s="5" t="s">
        <v>165</v>
      </c>
      <c r="F8" s="5" t="s">
        <v>166</v>
      </c>
      <c r="G8" s="5" t="s">
        <v>167</v>
      </c>
      <c r="H8" s="5" t="s">
        <v>168</v>
      </c>
      <c r="I8" s="5" t="s">
        <v>169</v>
      </c>
      <c r="J8" s="5" t="s">
        <v>170</v>
      </c>
      <c r="K8" s="5" t="s">
        <v>171</v>
      </c>
      <c r="L8" s="5" t="s">
        <v>172</v>
      </c>
    </row>
    <row r="9" spans="1:12" ht="28.5">
      <c r="A9" s="5" t="s">
        <v>50</v>
      </c>
      <c r="B9" s="5" t="s">
        <v>51</v>
      </c>
      <c r="C9" s="5" t="s">
        <v>46</v>
      </c>
      <c r="D9" s="5" t="s">
        <v>173</v>
      </c>
      <c r="E9" s="5" t="s">
        <v>174</v>
      </c>
      <c r="F9" s="5" t="s">
        <v>175</v>
      </c>
      <c r="G9" s="5" t="s">
        <v>176</v>
      </c>
      <c r="H9" s="5" t="s">
        <v>177</v>
      </c>
      <c r="I9" s="5" t="s">
        <v>178</v>
      </c>
      <c r="J9" s="5" t="s">
        <v>179</v>
      </c>
      <c r="K9" s="5" t="s">
        <v>180</v>
      </c>
      <c r="L9" s="5" t="s">
        <v>181</v>
      </c>
    </row>
    <row r="10" spans="1:12" ht="28.5">
      <c r="A10" s="5" t="s">
        <v>52</v>
      </c>
      <c r="B10" s="5" t="s">
        <v>53</v>
      </c>
      <c r="C10" s="5" t="s">
        <v>54</v>
      </c>
      <c r="D10" s="5" t="s">
        <v>182</v>
      </c>
      <c r="E10" s="5" t="s">
        <v>183</v>
      </c>
      <c r="F10" s="5" t="s">
        <v>184</v>
      </c>
      <c r="G10" s="5" t="s">
        <v>185</v>
      </c>
      <c r="H10" s="5" t="s">
        <v>186</v>
      </c>
      <c r="I10" s="5" t="s">
        <v>187</v>
      </c>
      <c r="J10" s="5" t="s">
        <v>188</v>
      </c>
      <c r="K10" s="5" t="s">
        <v>189</v>
      </c>
      <c r="L10" s="5" t="s">
        <v>190</v>
      </c>
    </row>
    <row r="11" spans="1:12" ht="28.5">
      <c r="A11" s="5" t="s">
        <v>57</v>
      </c>
      <c r="B11" s="5" t="s">
        <v>58</v>
      </c>
      <c r="C11" s="5" t="s">
        <v>54</v>
      </c>
      <c r="D11" s="5" t="s">
        <v>191</v>
      </c>
      <c r="E11" s="5" t="s">
        <v>192</v>
      </c>
      <c r="F11" s="5" t="s">
        <v>193</v>
      </c>
      <c r="G11" s="5" t="s">
        <v>194</v>
      </c>
      <c r="H11" s="5" t="s">
        <v>195</v>
      </c>
      <c r="I11" s="5" t="s">
        <v>196</v>
      </c>
      <c r="J11" s="5" t="s">
        <v>197</v>
      </c>
      <c r="K11" s="5" t="s">
        <v>198</v>
      </c>
      <c r="L11" s="5" t="s">
        <v>199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/>
  </sheetViews>
  <sheetFormatPr baseColWidth="10" defaultColWidth="9" defaultRowHeight="14.25"/>
  <cols>
    <col min="1" max="1" width="32" customWidth="1"/>
    <col min="4" max="4" width="70" customWidth="1"/>
  </cols>
  <sheetData>
    <row r="1" spans="1:4" ht="45">
      <c r="A1" s="4" t="s">
        <v>200</v>
      </c>
      <c r="B1" s="4" t="s">
        <v>201</v>
      </c>
      <c r="C1" s="4" t="s">
        <v>78</v>
      </c>
      <c r="D1" s="4" t="s">
        <v>62</v>
      </c>
    </row>
    <row r="2" spans="1:4">
      <c r="A2" s="5" t="s">
        <v>202</v>
      </c>
      <c r="B2" s="5">
        <v>10</v>
      </c>
      <c r="C2" s="8">
        <f t="shared" ref="C2:C7" si="0">B2/10</f>
        <v>1</v>
      </c>
      <c r="D2" s="5" t="s">
        <v>203</v>
      </c>
    </row>
    <row r="3" spans="1:4">
      <c r="A3" s="5" t="s">
        <v>204</v>
      </c>
      <c r="B3" s="5">
        <v>9</v>
      </c>
      <c r="C3" s="8">
        <f t="shared" si="0"/>
        <v>0.9</v>
      </c>
      <c r="D3" s="5" t="s">
        <v>205</v>
      </c>
    </row>
    <row r="4" spans="1:4">
      <c r="A4" s="5" t="s">
        <v>206</v>
      </c>
      <c r="B4" s="5">
        <v>8</v>
      </c>
      <c r="C4" s="8">
        <f t="shared" si="0"/>
        <v>0.8</v>
      </c>
      <c r="D4" s="5" t="s">
        <v>207</v>
      </c>
    </row>
    <row r="5" spans="1:4">
      <c r="A5" s="5" t="s">
        <v>208</v>
      </c>
      <c r="B5" s="5">
        <v>10</v>
      </c>
      <c r="C5" s="8">
        <f t="shared" si="0"/>
        <v>1</v>
      </c>
      <c r="D5" s="5" t="s">
        <v>209</v>
      </c>
    </row>
    <row r="6" spans="1:4">
      <c r="A6" s="5" t="s">
        <v>210</v>
      </c>
      <c r="B6" s="5">
        <v>7</v>
      </c>
      <c r="C6" s="8">
        <f t="shared" si="0"/>
        <v>0.7</v>
      </c>
      <c r="D6" s="5" t="s">
        <v>211</v>
      </c>
    </row>
    <row r="7" spans="1:4">
      <c r="A7" s="5" t="s">
        <v>212</v>
      </c>
      <c r="B7" s="5">
        <v>4</v>
      </c>
      <c r="C7" s="8">
        <f t="shared" si="0"/>
        <v>0.4</v>
      </c>
      <c r="D7" s="5" t="s">
        <v>213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topLeftCell="A7" workbookViewId="0">
      <selection sqref="A1:H1"/>
    </sheetView>
  </sheetViews>
  <sheetFormatPr baseColWidth="10" defaultColWidth="9" defaultRowHeight="14.25"/>
  <cols>
    <col min="1" max="4" width="28" customWidth="1"/>
    <col min="6" max="6" width="32" customWidth="1"/>
    <col min="7" max="8" width="14" customWidth="1"/>
  </cols>
  <sheetData>
    <row r="1" spans="1:8" ht="18">
      <c r="A1" s="10" t="s">
        <v>214</v>
      </c>
      <c r="B1" s="11"/>
      <c r="C1" s="11"/>
      <c r="D1" s="11"/>
      <c r="E1" s="11"/>
      <c r="F1" s="11"/>
      <c r="G1" s="11"/>
      <c r="H1" s="11"/>
    </row>
    <row r="3" spans="1:8" ht="15">
      <c r="A3" s="1" t="s">
        <v>215</v>
      </c>
      <c r="B3" s="2">
        <v>10</v>
      </c>
    </row>
    <row r="4" spans="1:8" ht="15">
      <c r="A4" s="1" t="s">
        <v>216</v>
      </c>
      <c r="B4" s="2">
        <f>COUNTIF(Matriz_Checklist!C2:C11,"Técnico")</f>
        <v>5</v>
      </c>
    </row>
    <row r="5" spans="1:8" ht="15">
      <c r="A5" s="1" t="s">
        <v>217</v>
      </c>
      <c r="B5" s="2">
        <f>COUNTIF(Matriz_Checklist!C2:C11,"Jefatura")</f>
        <v>3</v>
      </c>
    </row>
    <row r="6" spans="1:8" ht="15">
      <c r="A6" s="1" t="s">
        <v>218</v>
      </c>
      <c r="B6" s="2">
        <f>COUNTIF(Matriz_Checklist!C2:C11,"Administrativo")</f>
        <v>2</v>
      </c>
    </row>
    <row r="7" spans="1:8" ht="42.75">
      <c r="A7" s="1" t="s">
        <v>219</v>
      </c>
      <c r="B7" s="2" t="s">
        <v>220</v>
      </c>
    </row>
    <row r="10" spans="1:8" ht="15">
      <c r="A10" s="4" t="s">
        <v>88</v>
      </c>
      <c r="B10" s="4" t="s">
        <v>221</v>
      </c>
      <c r="C10" s="4" t="s">
        <v>90</v>
      </c>
      <c r="D10" s="4" t="s">
        <v>222</v>
      </c>
      <c r="F10" s="4" t="s">
        <v>223</v>
      </c>
      <c r="G10" s="4" t="s">
        <v>77</v>
      </c>
      <c r="H10" s="4" t="s">
        <v>78</v>
      </c>
    </row>
    <row r="11" spans="1:8">
      <c r="A11" t="str">
        <f>Indicadores!A2</f>
        <v>Políticas / lineamientos</v>
      </c>
      <c r="B11">
        <f>Indicadores!B2</f>
        <v>10</v>
      </c>
      <c r="C11">
        <f>Indicadores!C2</f>
        <v>10</v>
      </c>
      <c r="D11" s="7">
        <f>Indicadores!D2</f>
        <v>1</v>
      </c>
      <c r="F11" t="str">
        <f>Categorias_Cualitativas!A2</f>
        <v>Controles de acceso/perfiles</v>
      </c>
      <c r="G11">
        <f>Categorias_Cualitativas!B2</f>
        <v>10</v>
      </c>
      <c r="H11" s="7">
        <f>Categorias_Cualitativas!C2</f>
        <v>1</v>
      </c>
    </row>
    <row r="12" spans="1:8">
      <c r="A12" t="str">
        <f>Indicadores!A3</f>
        <v>Procedimientos documentados</v>
      </c>
      <c r="B12">
        <f>Indicadores!B3</f>
        <v>8</v>
      </c>
      <c r="C12">
        <f>Indicadores!C3</f>
        <v>10</v>
      </c>
      <c r="D12" s="7">
        <f>Indicadores!D3</f>
        <v>0.8</v>
      </c>
      <c r="F12" t="str">
        <f>Categorias_Cualitativas!A3</f>
        <v>Logs/bitácoras/auditoría</v>
      </c>
      <c r="G12">
        <f>Categorias_Cualitativas!B3</f>
        <v>9</v>
      </c>
      <c r="H12" s="7">
        <f>Categorias_Cualitativas!C3</f>
        <v>0.9</v>
      </c>
    </row>
    <row r="13" spans="1:8">
      <c r="A13" t="str">
        <f>Indicadores!A4</f>
        <v>Controles de acceso</v>
      </c>
      <c r="B13">
        <f>Indicadores!B4</f>
        <v>6</v>
      </c>
      <c r="C13">
        <f>Indicadores!C4</f>
        <v>10</v>
      </c>
      <c r="D13" s="7">
        <f>Indicadores!D4</f>
        <v>0.6</v>
      </c>
      <c r="F13" t="str">
        <f>Categorias_Cualitativas!A4</f>
        <v>Documentación/trazabilidad parcial</v>
      </c>
      <c r="G13">
        <f>Categorias_Cualitativas!B4</f>
        <v>8</v>
      </c>
      <c r="H13" s="7">
        <f>Categorias_Cualitativas!C4</f>
        <v>0.8</v>
      </c>
    </row>
    <row r="14" spans="1:8">
      <c r="A14" t="str">
        <f>Indicadores!A5</f>
        <v>Logs/auditoría</v>
      </c>
      <c r="B14">
        <f>Indicadores!B5</f>
        <v>3</v>
      </c>
      <c r="C14">
        <f>Indicadores!C5</f>
        <v>10</v>
      </c>
      <c r="D14" s="7">
        <f>Indicadores!D5</f>
        <v>0.3</v>
      </c>
      <c r="F14" t="str">
        <f>Categorias_Cualitativas!A5</f>
        <v>Validación contra fuentes oficiales</v>
      </c>
      <c r="G14">
        <f>Categorias_Cualitativas!B5</f>
        <v>10</v>
      </c>
      <c r="H14" s="7">
        <f>Categorias_Cualitativas!C5</f>
        <v>1</v>
      </c>
    </row>
    <row r="15" spans="1:8">
      <c r="A15" t="str">
        <f>Indicadores!A6</f>
        <v>Origen de datos</v>
      </c>
      <c r="B15">
        <f>Indicadores!B6</f>
        <v>8</v>
      </c>
      <c r="C15">
        <f>Indicadores!C6</f>
        <v>10</v>
      </c>
      <c r="D15" s="7">
        <f>Indicadores!D6</f>
        <v>0.8</v>
      </c>
      <c r="F15" t="str">
        <f>Categorias_Cualitativas!A6</f>
        <v>Necesidad de estandarización</v>
      </c>
      <c r="G15">
        <f>Categorias_Cualitativas!B6</f>
        <v>7</v>
      </c>
      <c r="H15" s="7">
        <f>Categorias_Cualitativas!C6</f>
        <v>0.7</v>
      </c>
    </row>
    <row r="16" spans="1:8">
      <c r="A16" t="str">
        <f>Indicadores!A7</f>
        <v>Verificación de integridad</v>
      </c>
      <c r="B16">
        <f>Indicadores!B7</f>
        <v>3</v>
      </c>
      <c r="C16">
        <f>Indicadores!C7</f>
        <v>10</v>
      </c>
      <c r="D16" s="7">
        <f>Indicadores!D7</f>
        <v>0.3</v>
      </c>
      <c r="F16" t="str">
        <f>Categorias_Cualitativas!A7</f>
        <v>Capacitación/fortalecimiento técnico</v>
      </c>
      <c r="G16">
        <f>Categorias_Cualitativas!B7</f>
        <v>4</v>
      </c>
      <c r="H16" s="7">
        <f>Categorias_Cualitativas!C7</f>
        <v>0.4</v>
      </c>
    </row>
    <row r="17" spans="1:4">
      <c r="A17" t="str">
        <f>Indicadores!A8</f>
        <v>Seguridad de sistemas</v>
      </c>
      <c r="B17">
        <f>Indicadores!B8</f>
        <v>10</v>
      </c>
      <c r="C17">
        <f>Indicadores!C8</f>
        <v>10</v>
      </c>
      <c r="D17" s="7">
        <f>Indicadores!D8</f>
        <v>1</v>
      </c>
    </row>
    <row r="18" spans="1:4">
      <c r="A18" t="str">
        <f>Indicadores!A9</f>
        <v>Control calidad de datos</v>
      </c>
      <c r="B18">
        <f>Indicadores!B9</f>
        <v>8</v>
      </c>
      <c r="C18">
        <f>Indicadores!C9</f>
        <v>10</v>
      </c>
      <c r="D18" s="7">
        <f>Indicadores!D9</f>
        <v>0.8</v>
      </c>
    </row>
    <row r="19" spans="1:4">
      <c r="A19" t="str">
        <f>Indicadores!A10</f>
        <v>Informes calidad del dato</v>
      </c>
      <c r="B19">
        <f>Indicadores!B10</f>
        <v>8</v>
      </c>
      <c r="C19">
        <f>Indicadores!C10</f>
        <v>10</v>
      </c>
      <c r="D19" s="7">
        <f>Indicadores!D10</f>
        <v>0.8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tabSelected="1" workbookViewId="0">
      <selection activeCell="B19" sqref="B19"/>
    </sheetView>
  </sheetViews>
  <sheetFormatPr baseColWidth="10" defaultColWidth="9" defaultRowHeight="14.25"/>
  <cols>
    <col min="1" max="1" width="28" customWidth="1"/>
    <col min="2" max="2" width="110" customWidth="1"/>
  </cols>
  <sheetData>
    <row r="1" spans="1:4" ht="18">
      <c r="A1" s="10" t="s">
        <v>224</v>
      </c>
      <c r="B1" s="11"/>
      <c r="C1" s="11"/>
      <c r="D1" s="11"/>
    </row>
    <row r="3" spans="1:4" ht="72" customHeight="1">
      <c r="A3" s="1" t="s">
        <v>225</v>
      </c>
      <c r="B3" s="9" t="s">
        <v>226</v>
      </c>
    </row>
    <row r="4" spans="1:4" ht="72" customHeight="1">
      <c r="A4" s="1" t="s">
        <v>227</v>
      </c>
      <c r="B4" s="9" t="s">
        <v>228</v>
      </c>
    </row>
    <row r="5" spans="1:4" ht="72" customHeight="1">
      <c r="A5" s="1" t="s">
        <v>229</v>
      </c>
      <c r="B5" s="9" t="s">
        <v>230</v>
      </c>
    </row>
    <row r="6" spans="1:4" ht="72" customHeight="1">
      <c r="A6" s="1" t="s">
        <v>231</v>
      </c>
      <c r="B6" s="9" t="s">
        <v>232</v>
      </c>
    </row>
    <row r="7" spans="1:4" ht="72" customHeight="1">
      <c r="A7" s="1" t="s">
        <v>233</v>
      </c>
      <c r="B7" s="9" t="s">
        <v>234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README</vt:lpstr>
      <vt:lpstr>Matriz_Checklist</vt:lpstr>
      <vt:lpstr>Codificacion</vt:lpstr>
      <vt:lpstr>Tabulacion_Checklist</vt:lpstr>
      <vt:lpstr>Indicadores</vt:lpstr>
      <vt:lpstr>Matriz_Entrevistas</vt:lpstr>
      <vt:lpstr>Categorias_Cualitativas</vt:lpstr>
      <vt:lpstr>Dashboard</vt:lpstr>
      <vt:lpstr>Analisis_Discusion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Maria Espinoza Rivera</cp:lastModifiedBy>
  <dcterms:modified xsi:type="dcterms:W3CDTF">2026-05-23T16:24:34Z</dcterms:modified>
</cp:coreProperties>
</file>